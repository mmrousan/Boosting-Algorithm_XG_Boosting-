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THERS\1.AI Learning\Week-3_Machine Learning and Regression\Machine Learning and Regression\1.Traditional\7.XG_Boosting Algorithm\"/>
    </mc:Choice>
  </mc:AlternateContent>
  <xr:revisionPtr revIDLastSave="0" documentId="13_ncr:1_{1ABD080A-F567-4099-A834-F429A91789B4}" xr6:coauthVersionLast="45" xr6:coauthVersionMax="45" xr10:uidLastSave="{00000000-0000-0000-0000-000000000000}"/>
  <bookViews>
    <workbookView xWindow="-108" yWindow="-108" windowWidth="23256" windowHeight="12456" xr2:uid="{ECACCEFD-BD4B-4576-B811-AC33651FF1D8}"/>
  </bookViews>
  <sheets>
    <sheet name="Experiments" sheetId="1" r:id="rId1"/>
    <sheet name="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<sst xmlns="http://schemas.openxmlformats.org/spreadsheetml/2006/main" count="82" uniqueCount="75">
  <si>
    <t>ID</t>
  </si>
  <si>
    <t>n_estimators</t>
  </si>
  <si>
    <t>max_depth</t>
  </si>
  <si>
    <t>learning_rate</t>
  </si>
  <si>
    <t>subsample</t>
  </si>
  <si>
    <t>colsample_bytree</t>
  </si>
  <si>
    <t>reg_lambda</t>
  </si>
  <si>
    <t>R² (test)</t>
  </si>
  <si>
    <t>XGB001</t>
  </si>
  <si>
    <t>XGB002</t>
  </si>
  <si>
    <t>XGB003</t>
  </si>
  <si>
    <t>XGB004</t>
  </si>
  <si>
    <t>XGB005</t>
  </si>
  <si>
    <t>XGB006</t>
  </si>
  <si>
    <t>XGB007</t>
  </si>
  <si>
    <t>XGB008</t>
  </si>
  <si>
    <t>XGB009</t>
  </si>
  <si>
    <t>XGB010</t>
  </si>
  <si>
    <t>XGB011</t>
  </si>
  <si>
    <t>XGB012</t>
  </si>
  <si>
    <t>XGB013</t>
  </si>
  <si>
    <t>XGB014</t>
  </si>
  <si>
    <t>XGB015</t>
  </si>
  <si>
    <t>XGB016</t>
  </si>
  <si>
    <t>XGB017</t>
  </si>
  <si>
    <t>XGB018</t>
  </si>
  <si>
    <t>XGB019</t>
  </si>
  <si>
    <t>XGB020</t>
  </si>
  <si>
    <t>XGB021</t>
  </si>
  <si>
    <t>XGB022</t>
  </si>
  <si>
    <t>XGB023</t>
  </si>
  <si>
    <t>XGB024</t>
  </si>
  <si>
    <t>Parameter</t>
  </si>
  <si>
    <t>Meaning</t>
  </si>
  <si>
    <t>Practice values</t>
  </si>
  <si>
    <t>Number of boosting rounds; with the settings below, one tree per round</t>
  </si>
  <si>
    <r>
      <t>50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100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200</t>
    </r>
  </si>
  <si>
    <t>Maximum depth of each tree</t>
  </si>
  <si>
    <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5</t>
    </r>
  </si>
  <si>
    <t>Scales each new tree’s contribution</t>
  </si>
  <si>
    <r>
      <t>0.05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0.1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0.3</t>
    </r>
  </si>
  <si>
    <t>Fraction of training rows sampled for each round</t>
  </si>
  <si>
    <r>
      <t>0.8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1.0</t>
    </r>
  </si>
  <si>
    <t>Fraction of input features sampled for each tree</t>
  </si>
  <si>
    <t>L2 penalty on leaf values; larger values make updates more conservative</t>
  </si>
  <si>
    <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10</t>
    </r>
  </si>
  <si>
    <t>random_state</t>
  </si>
  <si>
    <t>Controls random sampling</t>
  </si>
  <si>
    <r>
      <t xml:space="preserve">Keep </t>
    </r>
    <r>
      <rPr>
        <sz val="10"/>
        <color theme="1"/>
        <rFont val="Arial Unicode MS"/>
      </rPr>
      <t>0</t>
    </r>
  </si>
  <si>
    <t>XGBRegressor(n_estimators=100,max_depth=3,learning_rate=0.05,subsample=1.0,colsample_bytree=1.0,reg_lambda=1,random_state=0)</t>
  </si>
  <si>
    <t>XGBRegressor(n_estimators=200,max_depth=3,learning_rate=0.05,subsample=1.0,colsample_bytree=1.0,reg_lambda=1,random_state=0)</t>
  </si>
  <si>
    <t>XGBRegressor(n_estimators=100,max_depth=3,learning_rate=0.3,subsample=1.0,colsample_bytree=1.0,reg_lambda=1,random_state=0)</t>
  </si>
  <si>
    <t>XGBRegressor(n_estimators=100,max_depth=2,learning_rate=0.1,subsample=1.0,colsample_bytree=1.0,reg_lambda=1,random_state=0)</t>
  </si>
  <si>
    <t>XGBRegressor(n_estimators=200,max_depth=2,learning_rate=0.1,subsample=1.0,colsample_bytree=1.0,reg_lambda=1,random_state=0)</t>
  </si>
  <si>
    <t>XGBRegressor(n_estimators=100,max_depth=5,learning_rate=0.1,subsample=1.0,colsample_bytree=1.0,reg_lambda=1,random_state=0)</t>
  </si>
  <si>
    <t>XGBRegressor(n_estimators=200,max_depth=5,learning_rate=0.1,subsample=1.0,colsample_bytree=1.0,reg_lambda=1,random_state=0)</t>
  </si>
  <si>
    <t>XGBRegressor(n_estimators=200,max_depth=2,learning_rate=0.05,subsample=1.0,colsample_bytree=1.0,reg_lambda=1,random_state=0)</t>
  </si>
  <si>
    <t>XGBRegressor(n_estimators=200,max_depth=5,learning_rate=0.05,subsample=1.0,colsample_bytree=1.0,reg_lambda=1,random_state=0)</t>
  </si>
  <si>
    <t>XGBRegressor(n_estimators=100,max_depth=3,learning_rate=0.1,subsample=0.8,colsample_bytree=1.0,reg_lambda=1,random_state=0)</t>
  </si>
  <si>
    <t>XGBRegressor(n_estimators=100,max_depth=3,learning_rate=0.1,subsample=1,colsample_bytree=0.8,reg_lambda=1,random_state=0)</t>
  </si>
  <si>
    <t>XGBRegressor(n_estimators=100,max_depth=3,learning_rate=0.1,subsample=0.8,colsample_bytree=0.8,reg_lambda=1,random_state=0)</t>
  </si>
  <si>
    <t>XGBRegressor(n_estimators=200,max_depth=3,learning_rate=0.1,subsample=0.8,colsample_bytree=0.8,reg_lambda=1,random_state=0)</t>
  </si>
  <si>
    <t>XGBRegressor(n_estimators=200,max_depth=3,learning_rate=0.05,subsample=0.8,colsample_bytree=0.8,reg_lambda=1,random_state=0)</t>
  </si>
  <si>
    <t>XGBRegressor(n_estimators=100,max_depth=5,learning_rate=0.1,subsample=0.8,colsample_bytree=0.8,reg_lambda=1,random_state=0)</t>
  </si>
  <si>
    <t>XGBRegressor(n_estimators=100,max_depth=3,learning_rate=0.1,subsample=1,colsample_bytree=1,reg_lambda=5,random_state=0)</t>
  </si>
  <si>
    <t>XGBRegressor(n_estimators=100,max_depth=3,learning_rate=0.1,subsample=1,colsample_bytree=1,reg_lambda=10,random_state=0)</t>
  </si>
  <si>
    <t>XGBRegressor(n_estimators=100,max_depth=3,learning_rate=0.1,subsample=0.8,colsample_bytree=0.8,reg_lambda=5,random_state=0)</t>
  </si>
  <si>
    <t>XGBRegressor(n_estimators=100,max_depth=3,learning_rate=0.1,subsample=0.8,colsample_bytree=0.8,reg_lambda=10,random_state=0)</t>
  </si>
  <si>
    <t>XGBRegressor(n_estimators=200,max_depth=5,learning_rate=0.05,subsample=0.8,colsample_bytree=0.8,reg_lambda=5,random_state=0)</t>
  </si>
  <si>
    <t>XGBRegressor(n_estimators=200,max_depth=5,learning_rate=0.05,subsample=0.8,colsample_bytree=0.8,reg_lambda=10,random_state=0)</t>
  </si>
  <si>
    <t>XGBRegressor(n_estimators=200,max_depth=3,learning_rate=0.1,subsample=1,colsample_bytree=1,reg_lambda=1,random_state=0)</t>
  </si>
  <si>
    <t>XGBRegressor(n_estimators=50,max_depth=3,learning_rate=0.1,subsample=1,colsample_bytree=1,reg_lambda=1,random_state=0)</t>
  </si>
  <si>
    <t>XGBRegressor(n_estimators=100,max_depth=3,learning_rate=0.1,subsample=1,colsample_bytree=1,reg_lambda=1,random_state=0)</t>
  </si>
  <si>
    <t>Rank</t>
  </si>
  <si>
    <t>Experiments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</si>
</sst>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color rgb="FF000000"/>
      <name val="Courier New"/>
      <family val="3"/>
    </font>
    <font>
      <sz val="11"/>
      <color rgb="FFFF0000"/>
      <name val="Calibri"/>
      <family val="2"/>
      <scheme val="minor"/>
    </font>
    <font>
      <sz val="10"/>
      <color rgb="FFFF0000"/>
      <name val="Courier New"/>
      <family val="3"/>
    </font>
    <font>
      <sz val="8"/>
      <color rgb="FFFF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/>
    </xf>
    <xf numFmtId="0" fontId="0" fillId="0" borderId="6" xfId="0" applyBorder="1"/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4" fillId="2" borderId="6" xfId="0" applyFont="1" applyFill="1" applyBorder="1"/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/>
    </xf>
    <xf numFmtId="0" fontId="0" fillId="0" borderId="9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16FD-7237-435A-8874-07190F7497AE}">
  <dimension ref="A1:J25"/>
  <sheetViews>
    <sheetView tabSelected="1" workbookViewId="0">
      <selection activeCell="F13" sqref="F13"/>
    </sheetView>
  </sheetViews>
  <sheetFormatPr defaultRowHeight="14.4"/>
  <cols>
    <col min="10" max="10" width="116.21875" bestFit="1" customWidth="1"/>
  </cols>
  <sheetData>
    <row r="1" spans="1:10" ht="28.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73</v>
      </c>
      <c r="J1" s="4" t="s">
        <v>74</v>
      </c>
    </row>
    <row r="2" spans="1:10">
      <c r="A2" s="5" t="s">
        <v>8</v>
      </c>
      <c r="B2" s="6">
        <v>100</v>
      </c>
      <c r="C2" s="6">
        <v>3</v>
      </c>
      <c r="D2" s="6">
        <v>0.1</v>
      </c>
      <c r="E2" s="6">
        <v>1</v>
      </c>
      <c r="F2" s="6">
        <v>1</v>
      </c>
      <c r="G2" s="6">
        <v>1</v>
      </c>
      <c r="H2" s="7">
        <v>0.88830869533502599</v>
      </c>
      <c r="I2" s="7">
        <f>+IF(H2="","",_xlfn.RANK.EQ(H2,$H$2:$H$25,0))</f>
        <v>9</v>
      </c>
      <c r="J2" s="8" t="s">
        <v>72</v>
      </c>
    </row>
    <row r="3" spans="1:10">
      <c r="A3" s="9" t="s">
        <v>9</v>
      </c>
      <c r="B3" s="10">
        <v>50</v>
      </c>
      <c r="C3" s="10">
        <v>3</v>
      </c>
      <c r="D3" s="10">
        <v>0.1</v>
      </c>
      <c r="E3" s="10">
        <v>1</v>
      </c>
      <c r="F3" s="10">
        <v>1</v>
      </c>
      <c r="G3" s="10">
        <v>1</v>
      </c>
      <c r="H3" s="11">
        <v>0.89295986429547602</v>
      </c>
      <c r="I3" s="12">
        <f t="shared" ref="I3:I25" si="0">+IF(H3="","",_xlfn.RANK.EQ(H3,$H$2:$H$25,0))</f>
        <v>1</v>
      </c>
      <c r="J3" s="13" t="s">
        <v>71</v>
      </c>
    </row>
    <row r="4" spans="1:10">
      <c r="A4" s="5" t="s">
        <v>10</v>
      </c>
      <c r="B4" s="6">
        <v>200</v>
      </c>
      <c r="C4" s="6">
        <v>3</v>
      </c>
      <c r="D4" s="6">
        <v>0.1</v>
      </c>
      <c r="E4" s="6">
        <v>1</v>
      </c>
      <c r="F4" s="6">
        <v>1</v>
      </c>
      <c r="G4" s="6">
        <v>1</v>
      </c>
      <c r="H4" s="7">
        <v>0.87749710032255601</v>
      </c>
      <c r="I4" s="7">
        <f t="shared" si="0"/>
        <v>18</v>
      </c>
      <c r="J4" s="8" t="s">
        <v>70</v>
      </c>
    </row>
    <row r="5" spans="1:10">
      <c r="A5" s="5" t="s">
        <v>11</v>
      </c>
      <c r="B5" s="6">
        <v>100</v>
      </c>
      <c r="C5" s="6">
        <v>3</v>
      </c>
      <c r="D5" s="6">
        <v>0.05</v>
      </c>
      <c r="E5" s="6">
        <v>1</v>
      </c>
      <c r="F5" s="6">
        <v>1</v>
      </c>
      <c r="G5" s="6">
        <v>1</v>
      </c>
      <c r="H5" s="7">
        <v>0.892603690479565</v>
      </c>
      <c r="I5" s="7">
        <f t="shared" si="0"/>
        <v>2</v>
      </c>
      <c r="J5" s="8" t="s">
        <v>49</v>
      </c>
    </row>
    <row r="6" spans="1:10">
      <c r="A6" s="5" t="s">
        <v>12</v>
      </c>
      <c r="B6" s="6">
        <v>200</v>
      </c>
      <c r="C6" s="6">
        <v>3</v>
      </c>
      <c r="D6" s="6">
        <v>0.05</v>
      </c>
      <c r="E6" s="6">
        <v>1</v>
      </c>
      <c r="F6" s="6">
        <v>1</v>
      </c>
      <c r="G6" s="6">
        <v>1</v>
      </c>
      <c r="H6" s="7">
        <v>0.88750658132562399</v>
      </c>
      <c r="I6" s="7">
        <f t="shared" si="0"/>
        <v>11</v>
      </c>
      <c r="J6" s="8" t="s">
        <v>50</v>
      </c>
    </row>
    <row r="7" spans="1:10">
      <c r="A7" s="5" t="s">
        <v>13</v>
      </c>
      <c r="B7" s="6">
        <v>100</v>
      </c>
      <c r="C7" s="6">
        <v>3</v>
      </c>
      <c r="D7" s="6">
        <v>0.3</v>
      </c>
      <c r="E7" s="6">
        <v>1</v>
      </c>
      <c r="F7" s="6">
        <v>1</v>
      </c>
      <c r="G7" s="6">
        <v>1</v>
      </c>
      <c r="H7" s="7">
        <v>0.86683352831480298</v>
      </c>
      <c r="I7" s="7">
        <f t="shared" si="0"/>
        <v>21</v>
      </c>
      <c r="J7" s="8" t="s">
        <v>51</v>
      </c>
    </row>
    <row r="8" spans="1:10">
      <c r="A8" s="5" t="s">
        <v>14</v>
      </c>
      <c r="B8" s="6">
        <v>100</v>
      </c>
      <c r="C8" s="6">
        <v>2</v>
      </c>
      <c r="D8" s="6">
        <v>0.1</v>
      </c>
      <c r="E8" s="6">
        <v>1</v>
      </c>
      <c r="F8" s="6">
        <v>1</v>
      </c>
      <c r="G8" s="6">
        <v>1</v>
      </c>
      <c r="H8" s="7">
        <v>0.89222492117702901</v>
      </c>
      <c r="I8" s="7">
        <f t="shared" si="0"/>
        <v>3</v>
      </c>
      <c r="J8" s="8" t="s">
        <v>52</v>
      </c>
    </row>
    <row r="9" spans="1:10">
      <c r="A9" s="5" t="s">
        <v>15</v>
      </c>
      <c r="B9" s="6">
        <v>200</v>
      </c>
      <c r="C9" s="6">
        <v>2</v>
      </c>
      <c r="D9" s="6">
        <v>0.1</v>
      </c>
      <c r="E9" s="6">
        <v>1</v>
      </c>
      <c r="F9" s="6">
        <v>1</v>
      </c>
      <c r="G9" s="6">
        <v>1</v>
      </c>
      <c r="H9" s="7">
        <v>0.88993037690349497</v>
      </c>
      <c r="I9" s="7">
        <f t="shared" si="0"/>
        <v>6</v>
      </c>
      <c r="J9" s="8" t="s">
        <v>53</v>
      </c>
    </row>
    <row r="10" spans="1:10">
      <c r="A10" s="5" t="s">
        <v>16</v>
      </c>
      <c r="B10" s="6">
        <v>100</v>
      </c>
      <c r="C10" s="6">
        <v>5</v>
      </c>
      <c r="D10" s="6">
        <v>0.1</v>
      </c>
      <c r="E10" s="6">
        <v>1</v>
      </c>
      <c r="F10" s="6">
        <v>1</v>
      </c>
      <c r="G10" s="6">
        <v>1</v>
      </c>
      <c r="H10" s="7">
        <v>0.866118957874489</v>
      </c>
      <c r="I10" s="7">
        <f t="shared" si="0"/>
        <v>22</v>
      </c>
      <c r="J10" s="8" t="s">
        <v>54</v>
      </c>
    </row>
    <row r="11" spans="1:10">
      <c r="A11" s="5" t="s">
        <v>17</v>
      </c>
      <c r="B11" s="6">
        <v>200</v>
      </c>
      <c r="C11" s="6">
        <v>5</v>
      </c>
      <c r="D11" s="6">
        <v>0.1</v>
      </c>
      <c r="E11" s="6">
        <v>1</v>
      </c>
      <c r="F11" s="6">
        <v>1</v>
      </c>
      <c r="G11" s="6">
        <v>1</v>
      </c>
      <c r="H11" s="7">
        <v>0.84853584402876603</v>
      </c>
      <c r="I11" s="7">
        <f t="shared" si="0"/>
        <v>24</v>
      </c>
      <c r="J11" s="8" t="s">
        <v>55</v>
      </c>
    </row>
    <row r="12" spans="1:10">
      <c r="A12" s="5" t="s">
        <v>18</v>
      </c>
      <c r="B12" s="6">
        <v>200</v>
      </c>
      <c r="C12" s="6">
        <v>2</v>
      </c>
      <c r="D12" s="6">
        <v>0.05</v>
      </c>
      <c r="E12" s="6">
        <v>1</v>
      </c>
      <c r="F12" s="6">
        <v>1</v>
      </c>
      <c r="G12" s="6">
        <v>1</v>
      </c>
      <c r="H12" s="7">
        <v>0.89191118259079205</v>
      </c>
      <c r="I12" s="7">
        <f t="shared" si="0"/>
        <v>4</v>
      </c>
      <c r="J12" s="8" t="s">
        <v>56</v>
      </c>
    </row>
    <row r="13" spans="1:10">
      <c r="A13" s="5" t="s">
        <v>19</v>
      </c>
      <c r="B13" s="6">
        <v>200</v>
      </c>
      <c r="C13" s="6">
        <v>5</v>
      </c>
      <c r="D13" s="6">
        <v>0.05</v>
      </c>
      <c r="E13" s="6">
        <v>1</v>
      </c>
      <c r="F13" s="6">
        <v>1</v>
      </c>
      <c r="G13" s="6">
        <v>1</v>
      </c>
      <c r="H13" s="7">
        <v>0.86499494758524298</v>
      </c>
      <c r="I13" s="7">
        <f t="shared" si="0"/>
        <v>23</v>
      </c>
      <c r="J13" s="8" t="s">
        <v>57</v>
      </c>
    </row>
    <row r="14" spans="1:10">
      <c r="A14" s="5" t="s">
        <v>20</v>
      </c>
      <c r="B14" s="6">
        <v>100</v>
      </c>
      <c r="C14" s="6">
        <v>3</v>
      </c>
      <c r="D14" s="6">
        <v>0.1</v>
      </c>
      <c r="E14" s="6">
        <v>0.8</v>
      </c>
      <c r="F14" s="6">
        <v>1</v>
      </c>
      <c r="G14" s="6">
        <v>1</v>
      </c>
      <c r="H14" s="7">
        <v>0.88721808283818204</v>
      </c>
      <c r="I14" s="7">
        <f t="shared" si="0"/>
        <v>12</v>
      </c>
      <c r="J14" s="8" t="s">
        <v>58</v>
      </c>
    </row>
    <row r="15" spans="1:10">
      <c r="A15" s="5" t="s">
        <v>21</v>
      </c>
      <c r="B15" s="6">
        <v>100</v>
      </c>
      <c r="C15" s="6">
        <v>3</v>
      </c>
      <c r="D15" s="6">
        <v>0.1</v>
      </c>
      <c r="E15" s="6">
        <v>1</v>
      </c>
      <c r="F15" s="6">
        <v>0.8</v>
      </c>
      <c r="G15" s="6">
        <v>1</v>
      </c>
      <c r="H15" s="7">
        <v>0.88661919884177398</v>
      </c>
      <c r="I15" s="7">
        <f t="shared" si="0"/>
        <v>13</v>
      </c>
      <c r="J15" s="8" t="s">
        <v>59</v>
      </c>
    </row>
    <row r="16" spans="1:10">
      <c r="A16" s="5" t="s">
        <v>22</v>
      </c>
      <c r="B16" s="6">
        <v>100</v>
      </c>
      <c r="C16" s="6">
        <v>3</v>
      </c>
      <c r="D16" s="6">
        <v>0.1</v>
      </c>
      <c r="E16" s="6">
        <v>0.8</v>
      </c>
      <c r="F16" s="6">
        <v>0.8</v>
      </c>
      <c r="G16" s="6">
        <v>1</v>
      </c>
      <c r="H16" s="7">
        <v>0.88494315198812201</v>
      </c>
      <c r="I16" s="7">
        <f t="shared" si="0"/>
        <v>15</v>
      </c>
      <c r="J16" s="8" t="s">
        <v>60</v>
      </c>
    </row>
    <row r="17" spans="1:10">
      <c r="A17" s="5" t="s">
        <v>23</v>
      </c>
      <c r="B17" s="6">
        <v>200</v>
      </c>
      <c r="C17" s="6">
        <v>3</v>
      </c>
      <c r="D17" s="6">
        <v>0.1</v>
      </c>
      <c r="E17" s="6">
        <v>0.8</v>
      </c>
      <c r="F17" s="6">
        <v>0.8</v>
      </c>
      <c r="G17" s="6">
        <v>1</v>
      </c>
      <c r="H17" s="7">
        <v>0.876739327994143</v>
      </c>
      <c r="I17" s="7">
        <f t="shared" si="0"/>
        <v>19</v>
      </c>
      <c r="J17" s="8" t="s">
        <v>61</v>
      </c>
    </row>
    <row r="18" spans="1:10">
      <c r="A18" s="5" t="s">
        <v>24</v>
      </c>
      <c r="B18" s="6">
        <v>200</v>
      </c>
      <c r="C18" s="6">
        <v>3</v>
      </c>
      <c r="D18" s="6">
        <v>0.05</v>
      </c>
      <c r="E18" s="6">
        <v>0.8</v>
      </c>
      <c r="F18" s="6">
        <v>0.8</v>
      </c>
      <c r="G18" s="6">
        <v>1</v>
      </c>
      <c r="H18" s="7">
        <v>0.88635838602990902</v>
      </c>
      <c r="I18" s="7">
        <f t="shared" si="0"/>
        <v>14</v>
      </c>
      <c r="J18" s="8" t="s">
        <v>62</v>
      </c>
    </row>
    <row r="19" spans="1:10">
      <c r="A19" s="5" t="s">
        <v>25</v>
      </c>
      <c r="B19" s="6">
        <v>100</v>
      </c>
      <c r="C19" s="6">
        <v>5</v>
      </c>
      <c r="D19" s="6">
        <v>0.1</v>
      </c>
      <c r="E19" s="6">
        <v>0.8</v>
      </c>
      <c r="F19" s="6">
        <v>0.8</v>
      </c>
      <c r="G19" s="6">
        <v>1</v>
      </c>
      <c r="H19" s="7">
        <v>0.86768470704912204</v>
      </c>
      <c r="I19" s="7">
        <f t="shared" si="0"/>
        <v>20</v>
      </c>
      <c r="J19" s="8" t="s">
        <v>63</v>
      </c>
    </row>
    <row r="20" spans="1:10">
      <c r="A20" s="5" t="s">
        <v>26</v>
      </c>
      <c r="B20" s="6">
        <v>100</v>
      </c>
      <c r="C20" s="6">
        <v>3</v>
      </c>
      <c r="D20" s="6">
        <v>0.1</v>
      </c>
      <c r="E20" s="6">
        <v>1</v>
      </c>
      <c r="F20" s="6">
        <v>1</v>
      </c>
      <c r="G20" s="6">
        <v>5</v>
      </c>
      <c r="H20" s="7">
        <v>0.89059921145691101</v>
      </c>
      <c r="I20" s="7">
        <f t="shared" si="0"/>
        <v>5</v>
      </c>
      <c r="J20" s="8" t="s">
        <v>64</v>
      </c>
    </row>
    <row r="21" spans="1:10">
      <c r="A21" s="5" t="s">
        <v>27</v>
      </c>
      <c r="B21" s="6">
        <v>100</v>
      </c>
      <c r="C21" s="6">
        <v>3</v>
      </c>
      <c r="D21" s="6">
        <v>0.1</v>
      </c>
      <c r="E21" s="6">
        <v>1</v>
      </c>
      <c r="F21" s="6">
        <v>1</v>
      </c>
      <c r="G21" s="6">
        <v>10</v>
      </c>
      <c r="H21" s="7">
        <v>0.88926002457631703</v>
      </c>
      <c r="I21" s="7">
        <f t="shared" si="0"/>
        <v>7</v>
      </c>
      <c r="J21" s="8" t="s">
        <v>65</v>
      </c>
    </row>
    <row r="22" spans="1:10">
      <c r="A22" s="5" t="s">
        <v>28</v>
      </c>
      <c r="B22" s="6">
        <v>100</v>
      </c>
      <c r="C22" s="6">
        <v>3</v>
      </c>
      <c r="D22" s="6">
        <v>0.1</v>
      </c>
      <c r="E22" s="6">
        <v>0.8</v>
      </c>
      <c r="F22" s="6">
        <v>0.8</v>
      </c>
      <c r="G22" s="6">
        <v>5</v>
      </c>
      <c r="H22" s="7">
        <v>0.88867155552288601</v>
      </c>
      <c r="I22" s="7">
        <f t="shared" si="0"/>
        <v>8</v>
      </c>
      <c r="J22" s="8" t="s">
        <v>66</v>
      </c>
    </row>
    <row r="23" spans="1:10">
      <c r="A23" s="5" t="s">
        <v>29</v>
      </c>
      <c r="B23" s="6">
        <v>100</v>
      </c>
      <c r="C23" s="6">
        <v>3</v>
      </c>
      <c r="D23" s="6">
        <v>0.1</v>
      </c>
      <c r="E23" s="6">
        <v>0.8</v>
      </c>
      <c r="F23" s="6">
        <v>0.8</v>
      </c>
      <c r="G23" s="6">
        <v>10</v>
      </c>
      <c r="H23" s="7">
        <v>0.88776032066079802</v>
      </c>
      <c r="I23" s="7">
        <f t="shared" si="0"/>
        <v>10</v>
      </c>
      <c r="J23" s="8" t="s">
        <v>67</v>
      </c>
    </row>
    <row r="24" spans="1:10">
      <c r="A24" s="5" t="s">
        <v>30</v>
      </c>
      <c r="B24" s="6">
        <v>200</v>
      </c>
      <c r="C24" s="6">
        <v>5</v>
      </c>
      <c r="D24" s="6">
        <v>0.05</v>
      </c>
      <c r="E24" s="6">
        <v>0.8</v>
      </c>
      <c r="F24" s="6">
        <v>0.8</v>
      </c>
      <c r="G24" s="6">
        <v>5</v>
      </c>
      <c r="H24" s="7">
        <v>0.87757262025230298</v>
      </c>
      <c r="I24" s="7">
        <f t="shared" si="0"/>
        <v>17</v>
      </c>
      <c r="J24" s="8" t="s">
        <v>68</v>
      </c>
    </row>
    <row r="25" spans="1:10">
      <c r="A25" s="14" t="s">
        <v>31</v>
      </c>
      <c r="B25" s="15">
        <v>200</v>
      </c>
      <c r="C25" s="15">
        <v>5</v>
      </c>
      <c r="D25" s="15">
        <v>0.05</v>
      </c>
      <c r="E25" s="15">
        <v>0.8</v>
      </c>
      <c r="F25" s="15">
        <v>0.8</v>
      </c>
      <c r="G25" s="15">
        <v>10</v>
      </c>
      <c r="H25" s="16">
        <v>0.88140527141840097</v>
      </c>
      <c r="I25" s="16">
        <f t="shared" si="0"/>
        <v>16</v>
      </c>
      <c r="J25" s="17" t="s">
        <v>69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E965-0EE1-4A13-AC04-E95A9D0F9FD2}">
  <dimension ref="A1:C8"/>
  <sheetViews>
    <sheetView workbookViewId="0">
      <selection activeCell="B7" sqref="B7"/>
    </sheetView>
  </sheetViews>
  <sheetFormatPr defaultRowHeight="14.4"/>
  <cols>
    <col min="1" max="1" width="15.21875" bestFit="1" customWidth="1"/>
    <col min="2" max="2" width="60.88671875" bestFit="1" customWidth="1"/>
    <col min="3" max="3" width="13.5546875" bestFit="1" customWidth="1"/>
  </cols>
  <sheetData>
    <row r="1" spans="1:3">
      <c r="A1" s="18" t="s">
        <v>32</v>
      </c>
      <c r="B1" s="19" t="s">
        <v>33</v>
      </c>
      <c r="C1" s="20" t="s">
        <v>34</v>
      </c>
    </row>
    <row r="2" spans="1:3">
      <c r="A2" s="21" t="s">
        <v>1</v>
      </c>
      <c r="B2" s="22" t="s">
        <v>35</v>
      </c>
      <c r="C2" s="23" t="s">
        <v>36</v>
      </c>
    </row>
    <row r="3" spans="1:3">
      <c r="A3" s="21" t="s">
        <v>2</v>
      </c>
      <c r="B3" s="22" t="s">
        <v>37</v>
      </c>
      <c r="C3" s="23" t="s">
        <v>38</v>
      </c>
    </row>
    <row r="4" spans="1:3">
      <c r="A4" s="21" t="s">
        <v>3</v>
      </c>
      <c r="B4" s="22" t="s">
        <v>39</v>
      </c>
      <c r="C4" s="23" t="s">
        <v>40</v>
      </c>
    </row>
    <row r="5" spans="1:3">
      <c r="A5" s="21" t="s">
        <v>4</v>
      </c>
      <c r="B5" s="22" t="s">
        <v>41</v>
      </c>
      <c r="C5" s="23" t="s">
        <v>42</v>
      </c>
    </row>
    <row r="6" spans="1:3">
      <c r="A6" s="21" t="s">
        <v>5</v>
      </c>
      <c r="B6" s="22" t="s">
        <v>43</v>
      </c>
      <c r="C6" s="23" t="s">
        <v>42</v>
      </c>
    </row>
    <row r="7" spans="1:3">
      <c r="A7" s="21" t="s">
        <v>6</v>
      </c>
      <c r="B7" s="22" t="s">
        <v>44</v>
      </c>
      <c r="C7" s="23" t="s">
        <v>45</v>
      </c>
    </row>
    <row r="8" spans="1:3">
      <c r="A8" s="24" t="s">
        <v>46</v>
      </c>
      <c r="B8" s="25" t="s">
        <v>47</v>
      </c>
      <c r="C8" s="26" t="s">
        <v>48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rousan</dc:creator>
  <cp:lastModifiedBy>rousan</cp:lastModifiedBy>
  <dcterms:created xsi:type="dcterms:W3CDTF">2026-10-05T12:10:37Z</dcterms:created>
  <dcterms:modified xsi:type="dcterms:W3CDTF">2026-10-05T15:20:25Z</dcterms:modified>
</cp:coreProperties>
</file>